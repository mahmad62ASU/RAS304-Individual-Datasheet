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f02ec4040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838ad6db9ecd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m d, yyyy"/>
    <x:numFmt numFmtId="201" formatCode="0.0"/>
    <x:numFmt numFmtId="202" formatCode="0.000"/>
    <x:numFmt numFmtId="203" formatCode="0"/>
    <x:numFmt numFmtId="204" formatCode="0.00"/>
    <x:numFmt numFmtId="205" formatCode="0%"/>
    <x:numFmt numFmtId="206" formatCode="0.0%"/>
  </x:numFmts>
  <x:fonts count="10">
    <x:font>
      <x:sz val="11"/>
      <x:name val="Carlito"/>
    </x:font>
    <x:font>
      <x:sz val="10"/>
      <x:color rgb="FF243B3B"/>
      <x:name val="Arial"/>
    </x:font>
    <x:font>
      <x:b/>
      <x:sz val="16"/>
      <x:color rgb="FF243B3B"/>
      <x:name val="Arial"/>
    </x:font>
    <x:font>
      <x:sz val="10"/>
      <x:color rgb="FF596A67"/>
      <x:name val="Arial"/>
    </x:font>
    <x:font>
      <x:b/>
      <x:sz val="14"/>
      <x:color rgb="FF236C68"/>
      <x:name val="Arial"/>
    </x:font>
    <x:font>
      <x:b/>
      <x:sz val="10"/>
      <x:color rgb="FFD56F57"/>
      <x:name val="Arial"/>
    </x:font>
    <x:font>
      <x:b/>
      <x:sz val="10"/>
      <x:color rgb="FFFFFFFF"/>
      <x:name val="Arial"/>
    </x:font>
    <x:font>
      <x:sz val="10"/>
      <x:color rgb="FF236C68"/>
      <x:name val="Arial"/>
    </x:font>
    <x:font>
      <x:b/>
      <x:sz val="10"/>
      <x:color rgb="FF243B3B"/>
      <x:name val="Arial"/>
    </x:font>
    <x:font>
      <x:b/>
      <x:sz val="10"/>
      <x:color rgb="FF596A6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AF6EF"/>
      </x:patternFill>
    </x:fill>
    <x:fill>
      <x:patternFill patternType="solid">
        <x:fgColor rgb="FF236C68"/>
      </x:patternFill>
    </x:fill>
    <x:fill>
      <x:patternFill patternType="solid">
        <x:fgColor rgb="FF243B3B"/>
      </x:patternFill>
    </x:fill>
    <x:fill>
      <x:patternFill patternType="solid">
        <x:fgColor rgb="FFF0F2EB"/>
      </x:patternFill>
    </x:fill>
    <x:fill>
      <x:patternFill patternType="solid">
        <x:fgColor rgb="FFFFF0D4"/>
      </x:patternFill>
    </x:fill>
    <x:fill>
      <x:patternFill patternType="solid">
        <x:fgColor rgb="FFE7F0ED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56F57"/>
      </x:bottom>
      <x:diagonal/>
    </x:border>
    <x:border>
      <x:left/>
      <x:right/>
      <x:top style="thin">
        <x:color rgb="FFD7DED7"/>
      </x:top>
      <x:bottom/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vertical="center"/>
    </x:xf>
    <x:xf numFmtId="200" fontId="3" fillId="2" borderId="1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4" fontId="7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4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04" fontId="8" fillId="7" borderId="0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204" fontId="8" fillId="7" borderId="2" xfId="0" applyNumberFormat="1" applyFont="1" applyFill="1" applyBorder="1" applyAlignment="1">
      <x:alignment vertical="center"/>
    </x:xf>
    <x:xf numFmtId="205" fontId="1" fillId="6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4" fontId="7" fillId="5" borderId="0" xfId="0" applyNumberFormat="1" applyFont="1" applyFill="1" applyBorder="1" applyAlignment="1">
      <x:alignment horizontal="right" vertical="center"/>
    </x:xf>
    <x:xf numFmtId="204" fontId="7" fillId="2" borderId="0" xfId="0" applyNumberFormat="1" applyFont="1" applyFill="1" applyBorder="1" applyAlignment="1">
      <x:alignment horizontal="right" vertical="center"/>
    </x:xf>
    <x:xf numFmtId="204" fontId="8" fillId="7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right" vertical="center"/>
    </x:xf>
    <x:xf numFmtId="205" fontId="1" fillId="6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3" fontId="8" fillId="7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2" fontId="1" fillId="7" borderId="0" xfId="0" applyNumberFormat="1" applyFont="1" applyFill="1" applyBorder="1" applyAlignment="1">
      <x:alignment horizontal="right" vertical="center"/>
    </x:xf>
    <x:xf numFmtId="201" fontId="1" fillId="7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  <x:xf numFmtId="203" fontId="1" fillId="7" borderId="0" xfId="0" applyNumberFormat="1" applyFont="1" applyFill="1" applyBorder="1" applyAlignment="1">
      <x:alignment horizontal="right" vertical="center"/>
    </x:xf>
    <x:xf numFmtId="206" fontId="1" fillId="2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cc5dbf710415e" /><Relationship Type="http://schemas.openxmlformats.org/officeDocument/2006/relationships/theme" Target="/xl/theme/theme1.xml" Id="Rd5a3ffefae144d53" /><Relationship Type="http://schemas.openxmlformats.org/officeDocument/2006/relationships/sharedStrings" Target="/xl/sharedStrings.xml" Id="Redce74b348d04366" /><Relationship Type="http://schemas.openxmlformats.org/officeDocument/2006/relationships/worksheet" Target="/xl/worksheets/sheet1.xml" Id="R838ad6db9ecd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6C6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9" hidden="0" customWidth="1"/>
    <x:col min="6" max="6" width="3" hidden="0" customWidth="1"/>
    <x:col min="3" max="3" width="10" hidden="0" customWidth="1"/>
    <x:col min="4" max="4" width="15" hidden="0" customWidth="1"/>
    <x:col min="5" max="5" width="15" hidden="0" customWidth="1"/>
    <x:col min="7" max="7" width="64" hidden="0" customWidth="1"/>
    <x:col min="8" max="8" width="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4" t="str">
        <x:v>Temperature control power budget</x:v>
      </x:c>
      <x:c r="C2" s="3"/>
      <x:c r="D2" s="3"/>
      <x:c r="E2" s="3"/>
      <x:c r="F2" s="3"/>
      <x:c r="G2" s="3"/>
      <x:c r="H2" s="3"/>
    </x:row>
    <x:row r="3" ht="22" customHeight="1">
      <x:c r="A3" s="3"/>
      <x:c r="B3" s="9" t="str">
        <x:v>Ayaan Ahmad · RAS 304 · Team 103</x:v>
      </x:c>
      <x:c r="C3" s="9"/>
      <x:c r="D3" s="9"/>
      <x:c r="E3" s="9"/>
      <x:c r="F3" s="9"/>
      <x:c r="G3" s="10" t="d">
        <x:v>2026-10-29T12:00:00.000Z</x:v>
      </x:c>
      <x:c r="H3" s="3"/>
    </x:row>
    <x:row r="4" ht="22" customHeight="1">
      <x:c r="A4" s="3"/>
      <x:c r="B4" s="3"/>
      <x:c r="C4" s="3"/>
      <x:c r="D4" s="3"/>
      <x:c r="E4" s="3"/>
      <x:c r="F4" s="3"/>
      <x:c r="G4" s="3"/>
      <x:c r="H4" s="3"/>
    </x:row>
    <x:row r="5" ht="28" customHeight="1">
      <x:c r="A5" s="3"/>
      <x:c r="B5" s="3" t="str">
        <x:v>Rounded logic allocation</x:v>
      </x:c>
      <x:c r="C5" s="63" t="n">
        <x:f>E28</x:f>
        <x:v>160</x:v>
      </x:c>
      <x:c r="D5" s="3" t="str">
        <x:v>mA</x:v>
      </x:c>
      <x:c r="E5" s="3"/>
      <x:c r="F5" s="3"/>
      <x:c r="G5" s="14" t="str">
        <x:v>Preliminary sizing allocations</x:v>
      </x:c>
      <x:c r="H5" s="3"/>
    </x:row>
    <x:row r="6" ht="28" customHeight="1">
      <x:c r="A6" s="3"/>
      <x:c r="B6" s="3" t="str">
        <x:v>Regulator screening dissipation</x:v>
      </x:c>
      <x:c r="C6" s="64" t="n">
        <x:f>E40</x:f>
        <x:v>0.6940000000000001</x:v>
      </x:c>
      <x:c r="D6" s="3" t="str">
        <x:v>W</x:v>
      </x:c>
      <x:c r="E6" s="3"/>
      <x:c r="F6" s="3"/>
      <x:c r="G6" s="14" t="str">
        <x:v>9 V source, 5 V rail, rounded 160 mA logic allocation.</x:v>
      </x:c>
      <x:c r="H6" s="3"/>
    </x:row>
    <x:row r="7" ht="28" customHeight="1">
      <x:c r="A7" s="3"/>
      <x:c r="B7" s="3" t="str">
        <x:v>Input current with optional fan</x:v>
      </x:c>
      <x:c r="C7" s="63" t="n">
        <x:f>E49</x:f>
        <x:v>366</x:v>
      </x:c>
      <x:c r="D7" s="3" t="str">
        <x:v>mA</x:v>
      </x:c>
      <x:c r="E7" s="3"/>
      <x:c r="F7" s="3"/>
      <x:c r="G7" s="14" t="str">
        <x:v>Fan start and stall current are unverified.</x:v>
      </x:c>
      <x:c r="H7" s="3"/>
    </x:row>
    <x:row r="8" ht="28" customHeight="1">
      <x:c r="A8" s="3"/>
      <x:c r="B8" s="3" t="str">
        <x:v>Illustrative junction temperature rise</x:v>
      </x:c>
      <x:c r="C8" s="63" t="n">
        <x:f>E41</x:f>
        <x:v>34.7</x:v>
      </x:c>
      <x:c r="D8" s="3" t="str">
        <x:v>°C</x:v>
      </x:c>
      <x:c r="E8" s="3"/>
      <x:c r="F8" s="3"/>
      <x:c r="G8" s="14" t="str">
        <x:v>50 °C/W is a screening assumption. Enclosure testing is pending.</x:v>
      </x:c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3"/>
      <x:c r="B10" s="15" t="str">
        <x:v>No measurements or verified maximum-current audit are claimed.</x:v>
      </x:c>
      <x:c r="C10" s="15"/>
      <x:c r="D10" s="15"/>
      <x:c r="E10" s="15"/>
      <x:c r="F10" s="15"/>
      <x:c r="G10" s="15"/>
      <x:c r="H10" s="3"/>
    </x:row>
    <x:row r="11" ht="25" customHeight="1">
      <x:c r="A11" s="3"/>
      <x:c r="B11" s="17" t="str">
        <x:v>A. Loads on the regulated 5 V rail</x:v>
      </x:c>
      <x:c r="C11" s="17"/>
      <x:c r="D11" s="17"/>
      <x:c r="E11" s="17"/>
      <x:c r="F11" s="17"/>
      <x:c r="G11" s="17"/>
      <x:c r="H11" s="3"/>
    </x:row>
    <x:row r="12" ht="26" customHeight="1">
      <x:c r="A12" s="3"/>
      <x:c r="B12" s="20" t="str">
        <x:v>Load</x:v>
      </x:c>
      <x:c r="C12" s="20" t="str">
        <x:v>Quantity</x:v>
      </x:c>
      <x:c r="D12" s="20" t="str">
        <x:v>Unit (mA)</x:v>
      </x:c>
      <x:c r="E12" s="20" t="str">
        <x:v>Total (mA)</x:v>
      </x:c>
      <x:c r="F12" s="70"/>
      <x:c r="G12" s="20" t="str">
        <x:v>Basis</x:v>
      </x:c>
      <x:c r="H12" s="3"/>
    </x:row>
    <x:row r="13" ht="26" customHeight="1">
      <x:c r="A13" s="3"/>
      <x:c r="B13" s="21" t="str">
        <x:v>PIC / Curiosity Nano</x:v>
      </x:c>
      <x:c r="C13" s="23" t="n">
        <x:v>1</x:v>
      </x:c>
      <x:c r="D13" s="24" t="n">
        <x:v>100</x:v>
      </x:c>
      <x:c r="E13" s="47" t="n">
        <x:f>IF(COUNT(C13:D13)=2,C13*D13,"missing input")</x:f>
        <x:v>100</x:v>
      </x:c>
      <x:c r="F13" s="3"/>
      <x:c r="G13" s="65" t="str">
        <x:v>Unverified operating allocation</x:v>
      </x:c>
      <x:c r="H13" s="3"/>
    </x:row>
    <x:row r="14" ht="26" customHeight="1">
      <x:c r="A14" s="3"/>
      <x:c r="B14" s="3" t="str">
        <x:v>NTC divider branches</x:v>
      </x:c>
      <x:c r="C14" s="23" t="n">
        <x:v>3</x:v>
      </x:c>
      <x:c r="D14" s="24" t="n">
        <x:v>0.5</x:v>
      </x:c>
      <x:c r="E14" s="48" t="n">
        <x:f>IF(COUNT(C14:D14)=2,C14*D14,"missing input")</x:f>
        <x:v>1.5</x:v>
      </x:c>
      <x:c r="F14" s="3"/>
      <x:c r="G14" s="14" t="str">
        <x:v>Near-short branch allowance; 5 V / 10 kΩ</x:v>
      </x:c>
      <x:c r="H14" s="3"/>
    </x:row>
    <x:row r="15" ht="26" customHeight="1">
      <x:c r="A15" s="3"/>
      <x:c r="B15" s="21" t="str">
        <x:v>MCP6002 amplifier channels</x:v>
      </x:c>
      <x:c r="C15" s="23" t="n">
        <x:v>4</x:v>
      </x:c>
      <x:c r="D15" s="24" t="n">
        <x:v>0.17</x:v>
      </x:c>
      <x:c r="E15" s="47" t="n">
        <x:f>IF(COUNT(C15:D15)=2,C15*D15,"missing input")</x:f>
        <x:v>0.68</x:v>
      </x:c>
      <x:c r="F15" s="3"/>
      <x:c r="G15" s="65" t="str">
        <x:v>170 µA per amplifier at specified conditions [S2]</x:v>
      </x:c>
      <x:c r="H15" s="3"/>
    </x:row>
    <x:row r="16" ht="26" customHeight="1">
      <x:c r="A16" s="3"/>
      <x:c r="B16" s="3" t="str">
        <x:v>Status LEDs</x:v>
      </x:c>
      <x:c r="C16" s="23" t="n">
        <x:v>3</x:v>
      </x:c>
      <x:c r="D16" s="24" t="n">
        <x:v>3</x:v>
      </x:c>
      <x:c r="E16" s="48" t="n">
        <x:f>IF(COUNT(C16:D16)=2,C16*D16,"missing input")</x:f>
        <x:v>9</x:v>
      </x:c>
      <x:c r="F16" s="3"/>
      <x:c r="G16" s="14" t="str">
        <x:v>Three simultaneous LED allocations</x:v>
      </x:c>
      <x:c r="H16" s="3"/>
    </x:row>
    <x:row r="17" ht="26" customHeight="1">
      <x:c r="A17" s="3"/>
      <x:c r="B17" s="21" t="str">
        <x:v>Fault GPIO / base drive</x:v>
      </x:c>
      <x:c r="C17" s="23" t="n">
        <x:v>1</x:v>
      </x:c>
      <x:c r="D17" s="24" t="n">
        <x:v>0.5</x:v>
      </x:c>
      <x:c r="E17" s="47" t="n">
        <x:f>IF(COUNT(C17:D17)=2,C17*D17,"missing input")</x:f>
        <x:v>0.5</x:v>
      </x:c>
      <x:c r="F17" s="3"/>
      <x:c r="G17" s="65" t="str">
        <x:v>Conservative GPIO/base allocation</x:v>
      </x:c>
      <x:c r="H17" s="3"/>
    </x:row>
    <x:row r="18" ht="26" customHeight="1">
      <x:c r="A18" s="3"/>
      <x:c r="B18" s="3" t="str">
        <x:v>Standalone fault pullup</x:v>
      </x:c>
      <x:c r="C18" s="23" t="n">
        <x:v>1</x:v>
      </x:c>
      <x:c r="D18" s="24" t="n">
        <x:v>0.5</x:v>
      </x:c>
      <x:c r="E18" s="48" t="n">
        <x:f>IF(COUNT(C18:D18)=2,C18*D18,"missing input")</x:f>
        <x:v>0.5</x:v>
      </x:c>
      <x:c r="F18" s="3"/>
      <x:c r="G18" s="14" t="str">
        <x:v>One 10 kΩ bus pullup at 5 V</x:v>
      </x:c>
      <x:c r="H18" s="3"/>
    </x:row>
    <x:row r="19" ht="26" customHeight="1">
      <x:c r="A19" s="3"/>
      <x:c r="B19" s="21" t="str">
        <x:v>Regulator minimum-load resistor</x:v>
      </x:c>
      <x:c r="C19" s="23" t="n">
        <x:v>1</x:v>
      </x:c>
      <x:c r="D19" s="24" t="n">
        <x:v>5</x:v>
      </x:c>
      <x:c r="E19" s="47" t="n">
        <x:f>IF(COUNT(C19:D19)=2,C19*D19,"missing input")</x:f>
        <x:v>5</x:v>
      </x:c>
      <x:c r="F19" s="3"/>
      <x:c r="G19" s="65" t="str">
        <x:v>1 kΩ at nominal 5 V</x:v>
      </x:c>
      <x:c r="H19" s="3"/>
    </x:row>
    <x:row r="20" ht="26" customHeight="1">
      <x:c r="A20" s="3"/>
      <x:c r="B20" s="3" t="str">
        <x:v>Other GPIO / pullups / spare</x:v>
      </x:c>
      <x:c r="C20" s="23" t="n">
        <x:v>1</x:v>
      </x:c>
      <x:c r="D20" s="24" t="n">
        <x:v>10</x:v>
      </x:c>
      <x:c r="E20" s="48" t="n">
        <x:f>IF(COUNT(C20:D20)=2,C20*D20,"missing input")</x:f>
        <x:v>10</x:v>
      </x:c>
      <x:c r="F20" s="3"/>
      <x:c r="G20" s="14" t="str">
        <x:v>Unverified planning allowance</x:v>
      </x:c>
      <x:c r="H20" s="3"/>
    </x:row>
    <x:row r="21" ht="26" customHeight="1">
      <x:c r="A21" s="3"/>
      <x:c r="B21" s="33" t="str">
        <x:v>Load sum</x:v>
      </x:c>
      <x:c r="C21" s="33"/>
      <x:c r="D21" s="34"/>
      <x:c r="E21" s="49" t="n">
        <x:f>IF(COUNT(E13:E20)=8,SUM(E13:E20),"missing input")</x:f>
        <x:v>127.18</x:v>
      </x:c>
      <x:c r="F21" s="71"/>
      <x:c r="G21" s="66"/>
      <x:c r="H21" s="3"/>
    </x:row>
    <x:row r="22" ht="22" customHeight="1">
      <x:c r="A22" s="3"/>
      <x:c r="B22" s="3"/>
      <x:c r="C22" s="3"/>
      <x:c r="D22" s="3"/>
      <x:c r="E22" s="50"/>
      <x:c r="F22" s="3"/>
      <x:c r="G22" s="14"/>
      <x:c r="H22" s="3"/>
    </x:row>
    <x:row r="23" ht="25" customHeight="1">
      <x:c r="A23" s="3"/>
      <x:c r="B23" s="17" t="str">
        <x:v>B. Margin and logic allocation</x:v>
      </x:c>
      <x:c r="C23" s="17"/>
      <x:c r="D23" s="17"/>
      <x:c r="E23" s="51"/>
      <x:c r="F23" s="17"/>
      <x:c r="G23" s="67"/>
      <x:c r="H23" s="3"/>
    </x:row>
    <x:row r="24" ht="22" customHeight="1">
      <x:c r="A24" s="3"/>
      <x:c r="B24" s="3" t="str">
        <x:v>Safety margin</x:v>
      </x:c>
      <x:c r="C24" s="3"/>
      <x:c r="D24" s="3"/>
      <x:c r="E24" s="52" t="n">
        <x:v>0.25</x:v>
      </x:c>
      <x:c r="F24" s="3"/>
      <x:c r="G24" s="14" t="str">
        <x:v>Required planning margin</x:v>
      </x:c>
      <x:c r="H24" s="3"/>
    </x:row>
    <x:row r="25" ht="22" customHeight="1">
      <x:c r="A25" s="3"/>
      <x:c r="B25" s="3" t="str">
        <x:v>Load sum</x:v>
      </x:c>
      <x:c r="C25" s="3"/>
      <x:c r="D25" s="3"/>
      <x:c r="E25" s="53" t="n">
        <x:f>E21</x:f>
        <x:v>127.18</x:v>
      </x:c>
      <x:c r="F25" s="3"/>
      <x:c r="G25" s="14" t="str">
        <x:v>From the eight simultaneous load allocations above</x:v>
      </x:c>
      <x:c r="H25" s="3"/>
    </x:row>
    <x:row r="26" ht="22" customHeight="1">
      <x:c r="A26" s="3"/>
      <x:c r="B26" s="3" t="str">
        <x:v>Margin current (mA)</x:v>
      </x:c>
      <x:c r="C26" s="3"/>
      <x:c r="D26" s="3"/>
      <x:c r="E26" s="53" t="n">
        <x:f>IF(COUNT(E25,E24)=2,E25*E24,"missing input")</x:f>
        <x:v>31.795</x:v>
      </x:c>
      <x:c r="F26" s="3"/>
      <x:c r="G26" s="14"/>
      <x:c r="H26" s="3"/>
    </x:row>
    <x:row r="27" ht="22" customHeight="1">
      <x:c r="A27" s="3"/>
      <x:c r="B27" s="3" t="str">
        <x:v>Logic current including margin (mA)</x:v>
      </x:c>
      <x:c r="C27" s="3"/>
      <x:c r="D27" s="3"/>
      <x:c r="E27" s="53" t="n">
        <x:f>IF(COUNT(E25:E26)=2,SUM(E25:E26),"missing input")</x:f>
        <x:v>158.97500000000002</x:v>
      </x:c>
      <x:c r="F27" s="3"/>
      <x:c r="G27" s="14"/>
      <x:c r="H27" s="3"/>
    </x:row>
    <x:row r="28" ht="22" customHeight="1">
      <x:c r="A28" s="3"/>
      <x:c r="B28" s="31" t="str">
        <x:v>Rounded logic allocation (mA)</x:v>
      </x:c>
      <x:c r="C28" s="31"/>
      <x:c r="D28" s="31"/>
      <x:c r="E28" s="54" t="n">
        <x:f>IF(ISNUMBER(E27),ROUNDUP(E27,-1),"missing input")</x:f>
        <x:v>160</x:v>
      </x:c>
      <x:c r="F28" s="31"/>
      <x:c r="G28" s="68" t="str">
        <x:v>Round up to the next 10 mA for this sizing allocation</x:v>
      </x:c>
      <x:c r="H28" s="3"/>
    </x:row>
    <x:row r="29" ht="22" customHeight="1">
      <x:c r="A29" s="3"/>
      <x:c r="B29" s="3" t="str">
        <x:v>Logic rail output power (W)</x:v>
      </x:c>
      <x:c r="C29" s="3"/>
      <x:c r="D29" s="3"/>
      <x:c r="E29" s="53" t="n">
        <x:f>IF(COUNT(E28,E34)=2,E28/1000*E34,"missing input")</x:f>
        <x:v>0.8</x:v>
      </x:c>
      <x:c r="F29" s="3"/>
      <x:c r="G29" s="14"/>
      <x:c r="H29" s="3"/>
    </x:row>
    <x:row r="30" ht="22" customHeight="1">
      <x:c r="A30" s="3"/>
      <x:c r="B30" s="14" t="str">
        <x:v>Replace allowances with verified operating currents before final component and fuse selection.</x:v>
      </x:c>
      <x:c r="C30" s="14"/>
      <x:c r="D30" s="14"/>
      <x:c r="E30" s="55"/>
      <x:c r="F30" s="14"/>
      <x:c r="G30" s="14"/>
      <x:c r="H30" s="3"/>
    </x:row>
    <x:row r="31" ht="22" customHeight="1">
      <x:c r="A31" s="3"/>
      <x:c r="B31" s="3"/>
      <x:c r="C31" s="3"/>
      <x:c r="D31" s="3"/>
      <x:c r="E31" s="50"/>
      <x:c r="F31" s="3"/>
      <x:c r="G31" s="14"/>
      <x:c r="H31" s="3"/>
    </x:row>
    <x:row r="32" ht="25" customHeight="1">
      <x:c r="A32" s="3"/>
      <x:c r="B32" s="17" t="str">
        <x:v>C. Regulator and thermal screening</x:v>
      </x:c>
      <x:c r="C32" s="17"/>
      <x:c r="D32" s="17"/>
      <x:c r="E32" s="51"/>
      <x:c r="F32" s="17"/>
      <x:c r="G32" s="67"/>
      <x:c r="H32" s="3"/>
    </x:row>
    <x:row r="33" ht="22" customHeight="1">
      <x:c r="A33" s="3"/>
      <x:c r="B33" s="3" t="str">
        <x:v>Nominal source voltage (V)</x:v>
      </x:c>
      <x:c r="C33" s="3"/>
      <x:c r="D33" s="3"/>
      <x:c r="E33" s="56" t="n">
        <x:v>9</x:v>
      </x:c>
      <x:c r="F33" s="3"/>
      <x:c r="G33" s="14" t="str">
        <x:v>Regulated 9 V source is a preliminary candidate</x:v>
      </x:c>
      <x:c r="H33" s="3"/>
    </x:row>
    <x:row r="34" ht="22" customHeight="1">
      <x:c r="A34" s="3"/>
      <x:c r="B34" s="3" t="str">
        <x:v>Regulated logic voltage (V)</x:v>
      </x:c>
      <x:c r="C34" s="3"/>
      <x:c r="D34" s="3"/>
      <x:c r="E34" s="56" t="n">
        <x:v>5</x:v>
      </x:c>
      <x:c r="F34" s="3"/>
      <x:c r="G34" s="14" t="str">
        <x:v>Proposed L7805ACV output rail</x:v>
      </x:c>
      <x:c r="H34" s="3"/>
    </x:row>
    <x:row r="35" ht="22" customHeight="1">
      <x:c r="A35" s="3"/>
      <x:c r="B35" s="3" t="str">
        <x:v>Regulator quiescent current (mA)</x:v>
      </x:c>
      <x:c r="C35" s="3"/>
      <x:c r="D35" s="3"/>
      <x:c r="E35" s="56" t="n">
        <x:v>6</x:v>
      </x:c>
      <x:c r="F35" s="3"/>
      <x:c r="G35" s="14" t="str">
        <x:v>L7805A maximum figure at specified conditions [S7]</x:v>
      </x:c>
      <x:c r="H35" s="3"/>
    </x:row>
    <x:row r="36" ht="22" customHeight="1">
      <x:c r="A36" s="3"/>
      <x:c r="B36" s="3" t="str">
        <x:v>Junction-to-ambient thermal resistance (°C/W)</x:v>
      </x:c>
      <x:c r="C36" s="3"/>
      <x:c r="D36" s="3"/>
      <x:c r="E36" s="56" t="n">
        <x:v>50</x:v>
      </x:c>
      <x:c r="F36" s="3"/>
      <x:c r="G36" s="14" t="str">
        <x:v>TO-220 screening value in stated datasheet conditions [S7]</x:v>
      </x:c>
      <x:c r="H36" s="3"/>
    </x:row>
    <x:row r="37" ht="22" customHeight="1">
      <x:c r="A37" s="3"/>
      <x:c r="B37" s="3" t="str">
        <x:v>Rounded logic allocation (mA)</x:v>
      </x:c>
      <x:c r="C37" s="3"/>
      <x:c r="D37" s="3"/>
      <x:c r="E37" s="57" t="n">
        <x:f>E28</x:f>
        <x:v>160</x:v>
      </x:c>
      <x:c r="F37" s="3"/>
      <x:c r="G37" s="14"/>
      <x:c r="H37" s="3"/>
    </x:row>
    <x:row r="38" ht="22" customHeight="1">
      <x:c r="A38" s="3"/>
      <x:c r="B38" s="3" t="str">
        <x:v>Pass-element dissipation (W)</x:v>
      </x:c>
      <x:c r="C38" s="3"/>
      <x:c r="D38" s="3"/>
      <x:c r="E38" s="53" t="n">
        <x:f>IF(COUNT(E33:E34,E37)=3,(E33-E34)*E37/1000,"missing input")</x:f>
        <x:v>0.64</x:v>
      </x:c>
      <x:c r="F38" s="3"/>
      <x:c r="G38" s="14" t="str">
        <x:v>(Input voltage − output voltage) × output current</x:v>
      </x:c>
      <x:c r="H38" s="3"/>
    </x:row>
    <x:row r="39" ht="22" customHeight="1">
      <x:c r="A39" s="3"/>
      <x:c r="B39" s="3" t="str">
        <x:v>Quiescent-current loss (W)</x:v>
      </x:c>
      <x:c r="C39" s="3"/>
      <x:c r="D39" s="3"/>
      <x:c r="E39" s="53" t="n">
        <x:f>IF(COUNT(E33,E35)=2,E33*E35/1000,"missing input")</x:f>
        <x:v>0.054</x:v>
      </x:c>
      <x:c r="F39" s="3"/>
      <x:c r="G39" s="14" t="str">
        <x:v>Input voltage × regulator quiescent current</x:v>
      </x:c>
      <x:c r="H39" s="3"/>
    </x:row>
    <x:row r="40" ht="22" customHeight="1">
      <x:c r="A40" s="3"/>
      <x:c r="B40" s="29" t="str">
        <x:v>Total screening dissipation (W)</x:v>
      </x:c>
      <x:c r="C40" s="29"/>
      <x:c r="D40" s="29"/>
      <x:c r="E40" s="58" t="n">
        <x:f>IF(COUNT(E38:E39)=2,SUM(E38:E39),"missing input")</x:f>
        <x:v>0.6940000000000001</x:v>
      </x:c>
      <x:c r="F40" s="29"/>
      <x:c r="G40" s="69"/>
      <x:c r="H40" s="3"/>
    </x:row>
    <x:row r="41" ht="22" customHeight="1">
      <x:c r="A41" s="3"/>
      <x:c r="B41" s="29" t="str">
        <x:v>Illustrative junction rise above ambient (°C)</x:v>
      </x:c>
      <x:c r="C41" s="29"/>
      <x:c r="D41" s="29"/>
      <x:c r="E41" s="59" t="n">
        <x:f>IF(COUNT(E40,E36)=2,E40*E36,"missing input")</x:f>
        <x:v>34.7</x:v>
      </x:c>
      <x:c r="F41" s="29"/>
      <x:c r="G41" s="69"/>
      <x:c r="H41" s="3"/>
    </x:row>
    <x:row r="42" ht="22" customHeight="1">
      <x:c r="A42" s="3"/>
      <x:c r="B42" s="3"/>
      <x:c r="C42" s="3"/>
      <x:c r="D42" s="3"/>
      <x:c r="E42" s="50"/>
      <x:c r="F42" s="3"/>
      <x:c r="G42" s="14"/>
      <x:c r="H42" s="3"/>
    </x:row>
    <x:row r="43" ht="22" customHeight="1">
      <x:c r="A43" s="3"/>
      <x:c r="B43" s="14" t="str">
        <x:v>Actual rise depends on enclosure, mounting, input tolerance, airflow and heatsink. Measure it.</x:v>
      </x:c>
      <x:c r="C43" s="14"/>
      <x:c r="D43" s="14"/>
      <x:c r="E43" s="55"/>
      <x:c r="F43" s="14"/>
      <x:c r="G43" s="14"/>
      <x:c r="H43" s="3"/>
    </x:row>
    <x:row r="44" ht="22" customHeight="1">
      <x:c r="A44" s="3"/>
      <x:c r="B44" s="3"/>
      <x:c r="C44" s="3"/>
      <x:c r="D44" s="3"/>
      <x:c r="E44" s="50"/>
      <x:c r="F44" s="3"/>
      <x:c r="G44" s="14"/>
      <x:c r="H44" s="3"/>
    </x:row>
    <x:row r="45" ht="25" customHeight="1">
      <x:c r="A45" s="3"/>
      <x:c r="B45" s="17" t="str">
        <x:v>D. External source with optional 9 V fan</x:v>
      </x:c>
      <x:c r="C45" s="17"/>
      <x:c r="D45" s="17"/>
      <x:c r="E45" s="51"/>
      <x:c r="F45" s="17"/>
      <x:c r="G45" s="67"/>
      <x:c r="H45" s="3"/>
    </x:row>
    <x:row r="46" ht="22" customHeight="1">
      <x:c r="A46" s="3"/>
      <x:c r="B46" s="3" t="str">
        <x:v>Optional fan running allowance (mA)</x:v>
      </x:c>
      <x:c r="C46" s="3"/>
      <x:c r="D46" s="3"/>
      <x:c r="E46" s="60" t="n">
        <x:v>200</x:v>
      </x:c>
      <x:c r="F46" s="3"/>
      <x:c r="G46" s="14" t="str">
        <x:v>Fan model, startup and stall currents remain unselected</x:v>
      </x:c>
      <x:c r="H46" s="3"/>
    </x:row>
    <x:row r="47" ht="22" customHeight="1">
      <x:c r="A47" s="3"/>
      <x:c r="B47" s="3" t="str">
        <x:v>Preliminary 9 V adapter rating (mA)</x:v>
      </x:c>
      <x:c r="C47" s="3"/>
      <x:c r="D47" s="3"/>
      <x:c r="E47" s="60" t="n">
        <x:v>1000</x:v>
      </x:c>
      <x:c r="F47" s="3"/>
      <x:c r="G47" s="14" t="str">
        <x:v>1 A source candidate only; verify voltage tolerance and wiring</x:v>
      </x:c>
      <x:c r="H47" s="3"/>
    </x:row>
    <x:row r="48" ht="22" customHeight="1">
      <x:c r="A48" s="3"/>
      <x:c r="B48" s="3" t="str">
        <x:v>Logic plus regulator input current (mA)</x:v>
      </x:c>
      <x:c r="C48" s="3"/>
      <x:c r="D48" s="3"/>
      <x:c r="E48" s="57" t="n">
        <x:f>IF(COUNT(E28,E35)=2,SUM(E28,E35),"missing input")</x:f>
        <x:v>166</x:v>
      </x:c>
      <x:c r="F48" s="3"/>
      <x:c r="G48" s="14"/>
      <x:c r="H48" s="3"/>
    </x:row>
    <x:row r="49" ht="22" customHeight="1">
      <x:c r="A49" s="3"/>
      <x:c r="B49" s="29" t="str">
        <x:v>Input with fan before startup (mA)</x:v>
      </x:c>
      <x:c r="C49" s="29"/>
      <x:c r="D49" s="29"/>
      <x:c r="E49" s="61" t="n">
        <x:f>IF(COUNT(E48,E46)=2,SUM(E48,E46),"missing input")</x:f>
        <x:v>366</x:v>
      </x:c>
      <x:c r="F49" s="29"/>
      <x:c r="G49" s="69" t="str">
        <x:v>Fan is powered from the 9 V branch, outside the 5 V regulator</x:v>
      </x:c>
      <x:c r="H49" s="3"/>
    </x:row>
    <x:row r="50" ht="22" customHeight="1">
      <x:c r="A50" s="3"/>
      <x:c r="B50" s="3" t="str">
        <x:v>Nominal adapter headroom before startup (mA)</x:v>
      </x:c>
      <x:c r="C50" s="3"/>
      <x:c r="D50" s="3"/>
      <x:c r="E50" s="57" t="n">
        <x:f>IF(COUNT(E47,E49)=2,E47-E49,"missing input")</x:f>
        <x:v>634</x:v>
      </x:c>
      <x:c r="F50" s="3"/>
      <x:c r="G50" s="14" t="str">
        <x:v>Running-current arithmetic does not establish startup capacity</x:v>
      </x:c>
      <x:c r="H50" s="3"/>
    </x:row>
    <x:row r="51" ht="22" customHeight="1">
      <x:c r="A51" s="3"/>
      <x:c r="B51" s="3" t="str">
        <x:v>Nominal adapter loading before startup</x:v>
      </x:c>
      <x:c r="C51" s="3"/>
      <x:c r="D51" s="3"/>
      <x:c r="E51" s="62" t="n">
        <x:f>IF(COUNT(E49,E47)&lt;&gt;2,"missing input",IF(E47&lt;=0,"invalid input",E49/E47))</x:f>
        <x:v>0.366</x:v>
      </x:c>
      <x:c r="F51" s="3"/>
      <x:c r="G51" s="14"/>
      <x:c r="H51" s="3"/>
    </x:row>
    <x:row r="52" ht="22" customHeight="1">
      <x:c r="A52" s="3"/>
      <x:c r="B52" s="3" t="str">
        <x:v>Fan startup / stall reserve</x:v>
      </x:c>
      <x:c r="C52" s="3"/>
      <x:c r="D52" s="3"/>
      <x:c r="E52" s="3" t="str">
        <x:v>Pending</x:v>
      </x:c>
      <x:c r="F52" s="3"/>
      <x:c r="G52" s="14" t="str">
        <x:v>Measure selected fan and check supply PWM permission</x:v>
      </x:c>
      <x:c r="H52" s="3"/>
    </x:row>
    <x:row r="53" ht="22" customHeight="1">
      <x:c r="A53" s="3"/>
      <x:c r="B53" s="3" t="str">
        <x:v>Final fuse rating</x:v>
      </x:c>
      <x:c r="C53" s="3"/>
      <x:c r="D53" s="3"/>
      <x:c r="E53" s="3" t="str">
        <x:v>Pending</x:v>
      </x:c>
      <x:c r="F53" s="3"/>
      <x:c r="G53" s="14" t="str">
        <x:v>Coordinate startup, cable rating and fault-clearing behavior</x:v>
      </x:c>
      <x:c r="H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</x:row>
    <x:row r="55" ht="25" customHeight="1">
      <x:c r="A55" s="3"/>
      <x:c r="B55" s="17" t="str">
        <x:v>E. Battery runtime</x:v>
      </x:c>
      <x:c r="C55" s="17"/>
      <x:c r="D55" s="17"/>
      <x:c r="E55" s="17"/>
      <x:c r="F55" s="17"/>
      <x:c r="G55" s="17"/>
      <x:c r="H55" s="3"/>
    </x:row>
    <x:row r="56" ht="22" customHeight="1">
      <x:c r="A56" s="3"/>
      <x:c r="B56" s="3" t="str">
        <x:v>Wall-powered reference design</x:v>
      </x:c>
      <x:c r="C56" s="3"/>
      <x:c r="D56" s="3"/>
      <x:c r="E56" s="3" t="str">
        <x:v>n.a.</x:v>
      </x:c>
      <x:c r="F56" s="3"/>
      <x:c r="G56" s="3" t="str">
        <x:v>No battery selected. Runtime requires usable capacity and losses.</x:v>
      </x:c>
      <x:c r="H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</x:row>
    <x:row r="58" ht="25" customHeight="1">
      <x:c r="A58" s="3"/>
      <x:c r="B58" s="17" t="str">
        <x:v>Assumptions and source references</x:v>
      </x:c>
      <x:c r="C58" s="17"/>
      <x:c r="D58" s="17"/>
      <x:c r="E58" s="17"/>
      <x:c r="F58" s="17"/>
      <x:c r="G58" s="17"/>
      <x:c r="H58" s="3"/>
    </x:row>
    <x:row r="59" ht="22" customHeight="1">
      <x:c r="A59" s="3"/>
      <x:c r="B59" s="14" t="str">
        <x:v>Warm amber cells are editable assumptions. Teal numbers are calculated results.</x:v>
      </x:c>
      <x:c r="C59" s="14"/>
      <x:c r="D59" s="14"/>
      <x:c r="E59" s="14"/>
      <x:c r="F59" s="14"/>
      <x:c r="G59" s="14"/>
      <x:c r="H59" s="3"/>
    </x:row>
    <x:row r="60" ht="22" customHeight="1">
      <x:c r="A60" s="3"/>
      <x:c r="B60" s="14" t="str">
        <x:v>All loads are sizing allocations. No prototype, current measurement or thermal test is recorded.</x:v>
      </x:c>
      <x:c r="C60" s="14"/>
      <x:c r="D60" s="14"/>
      <x:c r="E60" s="14"/>
      <x:c r="F60" s="14"/>
      <x:c r="G60" s="14"/>
      <x:c r="H60" s="3"/>
    </x:row>
    <x:row r="61" ht="22" customHeight="1">
      <x:c r="A61" s="3"/>
      <x:c r="B61" s="14" t="str">
        <x:v>The temperature design is proposed. The team must agree the final parts and operating limits.</x:v>
      </x:c>
      <x:c r="C61" s="14"/>
      <x:c r="D61" s="14"/>
      <x:c r="E61" s="14"/>
      <x:c r="F61" s="14"/>
      <x:c r="G61" s="14"/>
      <x:c r="H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</x:row>
    <x:row r="63" ht="22" customHeight="1">
      <x:c r="A63" s="3"/>
      <x:c r="B63" s="3" t="str">
        <x:v>Planning inputs</x:v>
      </x:c>
      <x:c r="C63" s="3"/>
      <x:c r="D63" s="3"/>
      <x:c r="E63" s="3"/>
      <x:c r="F63" s="3"/>
      <x:c r="G63" s="3" t="str">
        <x:v>Thermal-control reference design, researched October 29, 2026.</x:v>
      </x:c>
      <x:c r="H63" s="3"/>
    </x:row>
    <x:row r="64" ht="45" customHeight="1">
      <x:c r="A64" s="3"/>
      <x:c r="B64" s="3" t="str">
        <x:v>[S2] Microchip MCP6001/2/4, DS20001733L</x:v>
      </x:c>
      <x:c r="C64" s="3"/>
      <x:c r="D64" s="3"/>
      <x:c r="E64" s="3"/>
      <x:c r="F64" s="3"/>
      <x:c r="G64" s="46" t="str">
        <x:v>https://ww1.microchip.com/downloads/en/DeviceDoc/MCP6001-1R-1U-2-4-1-MHz-Low-Power-Op-Amp-DS20001733L.pdf</x:v>
      </x:c>
      <x:c r="H64" s="3"/>
    </x:row>
    <x:row r="65" ht="28" customHeight="1">
      <x:c r="A65" s="3"/>
      <x:c r="B65" s="3" t="str">
        <x:v>[S7] ST L78, DS0422 Rev 38</x:v>
      </x:c>
      <x:c r="C65" s="3"/>
      <x:c r="D65" s="3"/>
      <x:c r="E65" s="3"/>
      <x:c r="F65" s="3"/>
      <x:c r="G65" s="46" t="str">
        <x:v>https://www.st.com/resource/en/datasheet/l78.pdf</x:v>
      </x:c>
      <x:c r="H65" s="3"/>
    </x:row>
    <x:row r="66" ht="28" customHeight="1">
      <x:c r="A66" s="3"/>
      <x:c r="B66" s="3" t="str">
        <x:v>Team 103 report</x:v>
      </x:c>
      <x:c r="C66" s="3"/>
      <x:c r="D66" s="3"/>
      <x:c r="E66" s="3"/>
      <x:c r="F66" s="3"/>
      <x:c r="G66" s="46" t="str">
        <x:v>https://ras304-f26-103.github.io/</x:v>
      </x:c>
      <x:c r="H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</x:row>
  </x:sheetData>
  <x:pageMargins left="0.7" right="0.7" top="0.75" bottom="0.75" header="0.3" footer="0.3"/>
</x:worksheet>
</file>